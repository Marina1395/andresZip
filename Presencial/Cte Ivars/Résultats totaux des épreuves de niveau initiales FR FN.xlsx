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Q:\DIEGE\Grupos\AREA_FRANCES\01_CURSOS FRANCES\2026\Curso FR FN 26\PROGRAMME\ÉPREUVE DE NIVEAU INITIALE\RÉSULTATS CO CE\"/>
    </mc:Choice>
  </mc:AlternateContent>
  <xr:revisionPtr revIDLastSave="0" documentId="13_ncr:1_{58421E4E-2184-4601-8C90-762CFE9DC5F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<sst xmlns="http://schemas.openxmlformats.org/spreadsheetml/2006/main" count="105" uniqueCount="64">
  <si>
    <t>EMPLEO</t>
  </si>
  <si>
    <t>NOMBRE</t>
  </si>
  <si>
    <t>APELLIDOS</t>
  </si>
  <si>
    <t>SLP</t>
  </si>
  <si>
    <t>AÑO</t>
  </si>
  <si>
    <t xml:space="preserve">  </t>
  </si>
  <si>
    <t>FRANCISCO JAVIER</t>
  </si>
  <si>
    <t>JORGE</t>
  </si>
  <si>
    <t>CARLOS</t>
  </si>
  <si>
    <t>MARIA PILAR</t>
  </si>
  <si>
    <t>JOSE JOAQUIN</t>
  </si>
  <si>
    <t>JUAN ANTONIO</t>
  </si>
  <si>
    <t>ANTONIO</t>
  </si>
  <si>
    <t>JOSE MARIA</t>
  </si>
  <si>
    <t>ADRIAN</t>
  </si>
  <si>
    <t>ANDRES</t>
  </si>
  <si>
    <t>KEVIN</t>
  </si>
  <si>
    <t>FRANCISCO</t>
  </si>
  <si>
    <t>CIRIA AMORES</t>
  </si>
  <si>
    <t>TRIS JIMENEZ</t>
  </si>
  <si>
    <t>PEREZ TORRES</t>
  </si>
  <si>
    <t>MARTINEZ ZAPATA</t>
  </si>
  <si>
    <t>SANCHEZ RODRIGUEZ</t>
  </si>
  <si>
    <t>VILLACAMPA JIMENEZ</t>
  </si>
  <si>
    <t>ALONSO DEL MORAL</t>
  </si>
  <si>
    <t>MARTIN HACAR</t>
  </si>
  <si>
    <t>RODRIGUEZ BETANCOR</t>
  </si>
  <si>
    <t>CORONADO MORAL</t>
  </si>
  <si>
    <t>CTE</t>
  </si>
  <si>
    <t>CAP</t>
  </si>
  <si>
    <t>BG</t>
  </si>
  <si>
    <t>SGT1</t>
  </si>
  <si>
    <t>SGTO</t>
  </si>
  <si>
    <t>PASTOR MONTAÑO</t>
  </si>
  <si>
    <t>1+.1.1+.1</t>
  </si>
  <si>
    <t>1.1.1.1</t>
  </si>
  <si>
    <t>1.1.1+.1+</t>
  </si>
  <si>
    <t>2.1+.2.1</t>
  </si>
  <si>
    <t>2.2.1+.1+</t>
  </si>
  <si>
    <t>1+.1.2.1</t>
  </si>
  <si>
    <t>1+.1.1.1</t>
  </si>
  <si>
    <t>1.1.1+.1</t>
  </si>
  <si>
    <t>2.1.1.1+</t>
  </si>
  <si>
    <t>1+.1.2.1+</t>
  </si>
  <si>
    <t>TOTAL:  12</t>
  </si>
  <si>
    <t>NIEGO GOMEZ</t>
  </si>
  <si>
    <t>ORD</t>
  </si>
  <si>
    <t>CO 35</t>
  </si>
  <si>
    <t>CE30</t>
  </si>
  <si>
    <t xml:space="preserve"> CURSO FRANCÉS FUNCIONAL (53056 2026 001)ÉPREUVE INITIELLE. RÉSULTATS.</t>
  </si>
  <si>
    <t>0+/1</t>
  </si>
  <si>
    <t>0+</t>
  </si>
  <si>
    <t>1+</t>
  </si>
  <si>
    <t>1/1+</t>
  </si>
  <si>
    <t>Groupe</t>
  </si>
  <si>
    <t>B2</t>
  </si>
  <si>
    <t>A1</t>
  </si>
  <si>
    <t>B1</t>
  </si>
  <si>
    <t>A2</t>
  </si>
  <si>
    <t>EE SLP</t>
  </si>
  <si>
    <t>EO SLP</t>
  </si>
  <si>
    <t>CO SLP</t>
  </si>
  <si>
    <t>CE SLP</t>
  </si>
  <si>
    <t>CO+ CE (35+30)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</si>
</sst>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4B183"/>
        <bgColor rgb="FFFF99CC"/>
      </patternFill>
    </fill>
    <fill>
      <patternFill patternType="solid">
        <fgColor rgb="FFD9D9D9"/>
        <bgColor rgb="FFBFBFBF"/>
      </patternFill>
    </fill>
    <fill>
      <patternFill patternType="solid">
        <fgColor rgb="FF92D050"/>
        <bgColor rgb="FFBFBFBF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BFBFB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5" fillId="0" borderId="0" applyBorder="0" applyProtection="0"/>
    <xf numFmtId="0" fontId="7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Fill="1" applyBorder="1"/>
    <xf numFmtId="0" fontId="2" fillId="0" borderId="0" xfId="0" applyFont="1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14" fontId="8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10" fillId="0" borderId="0" xfId="1" applyFont="1" applyBorder="1"/>
    <xf numFmtId="0" fontId="2" fillId="0" borderId="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left" vertical="center"/>
    </xf>
    <xf numFmtId="2" fontId="0" fillId="0" borderId="0" xfId="0" applyNumberFormat="1"/>
    <xf numFmtId="2" fontId="8" fillId="0" borderId="0" xfId="0" applyNumberFormat="1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8" fillId="5" borderId="0" xfId="0" applyFont="1" applyFill="1" applyAlignment="1">
      <alignment horizontal="center" vertical="top" wrapText="1"/>
    </xf>
    <xf numFmtId="0" fontId="9" fillId="4" borderId="6" xfId="0" applyFont="1" applyFill="1" applyBorder="1" applyAlignment="1">
      <alignment horizontal="center" vertical="top" wrapText="1"/>
    </xf>
    <xf numFmtId="0" fontId="9" fillId="4" borderId="10" xfId="0" applyFont="1" applyFill="1" applyBorder="1" applyAlignment="1">
      <alignment horizontal="center" vertical="top" wrapText="1"/>
    </xf>
    <xf numFmtId="0" fontId="8" fillId="6" borderId="0" xfId="0" applyFont="1" applyFill="1" applyAlignment="1">
      <alignment horizontal="center" vertical="top" wrapText="1"/>
    </xf>
    <xf numFmtId="0" fontId="9" fillId="7" borderId="5" xfId="0" applyFont="1" applyFill="1" applyBorder="1" applyAlignment="1">
      <alignment horizontal="center" vertical="top" wrapText="1"/>
    </xf>
  </cellXfs>
  <cellStyles count="5">
    <cellStyle name="Hipervínculo" xfId="1" builtinId="8"/>
    <cellStyle name="Hipervínculo 2" xfId="4" xr:uid="{00000000-0005-0000-0000-000001000000}"/>
    <cellStyle name="Hyperlink" xfId="2" xr:uid="{00000000-0005-0000-0000-000002000000}"/>
    <cellStyle name="Normal" xfId="0" builtinId="0"/>
    <cellStyle name="Normal 2" xfId="3" xr:uid="{00000000-0005-0000-0000-0000040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FBFBF"/>
          <bgColor rgb="FFD9D9D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FD37AA-7E92-4AA5-BC5F-6D223F3ACBDE}" name="Tabla1" displayName="Tabla1" ref="A2:N14" totalsRowShown="0" headerRowDxfId="3">
  <autoFilter ref="A2:N14" xr:uid="{F2FD37AA-7E92-4AA5-BC5F-6D223F3ACBDE}"/>
  <sortState xmlns:xlrd2="http://schemas.microsoft.com/office/spreadsheetml/2017/richdata2" ref="A3:M14">
    <sortCondition ref="C2:C14"/>
  </sortState>
  <tableColumns count="14">
    <tableColumn id="1" xr3:uid="{EBCBE753-2262-48CB-86BF-AA2E02711D14}" name="ORD" dataDxfId="14"/>
    <tableColumn id="2" xr3:uid="{DA3A464E-85AE-46E8-860E-9D04D09CF52F}" name="EMPLEO" dataDxfId="13"/>
    <tableColumn id="3" xr3:uid="{21CCABFD-67FA-433A-9370-A03DFC1C7F25}" name="NOMBRE" dataDxfId="12"/>
    <tableColumn id="4" xr3:uid="{8EAEA8F0-2C5C-45A8-9D50-52BEC89746FA}" name="APELLIDOS" dataDxfId="11"/>
    <tableColumn id="5" xr3:uid="{AD50EF3B-4C0E-474C-B843-B9112700BEEA}" name="SLP" dataDxfId="10"/>
    <tableColumn id="6" xr3:uid="{B7109A34-D4AC-41EC-BA6E-5D1BBC755BA2}" name="AÑO" dataDxfId="9"/>
    <tableColumn id="7" xr3:uid="{7895D5E4-D1FE-43F9-9C14-2EB1F5E4EADF}" name="CO 35" dataDxfId="8"/>
    <tableColumn id="8" xr3:uid="{EE838DBB-CA20-4381-A16E-51FF3535C66F}" name="CE30" dataDxfId="7"/>
    <tableColumn id="15" xr3:uid="{3EB24F33-999B-440F-893D-F64C41B71C35}" name="CO+ CE (35+30)" dataDxfId="2">
      <calculatedColumnFormula>Tabla1[[#This Row],[CO 35]]+Tabla1[[#This Row],[CE30]]</calculatedColumnFormula>
    </tableColumn>
    <tableColumn id="16" xr3:uid="{678CEA71-3091-4B50-AE4F-15AA8C0B7860}" name="CO SLP" dataDxfId="1"/>
    <tableColumn id="17" xr3:uid="{F9398456-6CE6-4457-A806-2F409835A43D}" name="CE SLP" dataDxfId="0"/>
    <tableColumn id="9" xr3:uid="{5916160D-AB55-4450-8424-EAC71658F06E}" name="EE SLP" dataDxfId="6"/>
    <tableColumn id="10" xr3:uid="{D54FAF8C-507B-4854-A89F-283C36688F8C}" name="EO SLP" dataDxfId="5"/>
    <tableColumn id="14" xr3:uid="{A6B3416D-2EA5-4F74-9973-3F6A454D31E1}" name="Groupe" dataDxfId="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2"/>
  <sheetViews>
    <sheetView tabSelected="1" zoomScaleNormal="100" workbookViewId="0">
      <selection activeCell="I23" sqref="I23"/>
    </sheetView>
  </sheetViews>
  <sheetFormatPr baseColWidth="10" defaultColWidth="9.140625" defaultRowHeight="15" x14ac:dyDescent="0.25"/>
  <cols>
    <col min="1" max="1" width="7" customWidth="1"/>
    <col min="2" max="2" width="10.42578125" style="1" customWidth="1"/>
    <col min="3" max="3" width="20.28515625" style="1" bestFit="1" customWidth="1"/>
    <col min="4" max="4" width="21.42578125" style="1" bestFit="1" customWidth="1"/>
    <col min="5" max="5" width="10.7109375" style="1" bestFit="1" customWidth="1"/>
    <col min="6" max="6" width="13.28515625" style="3" customWidth="1"/>
    <col min="7" max="7" width="7.85546875" style="3" customWidth="1"/>
    <col min="8" max="8" width="6.7109375" style="1" customWidth="1"/>
    <col min="9" max="9" width="8.7109375" style="1" customWidth="1"/>
    <col min="10" max="11" width="6.5703125" style="1" customWidth="1"/>
    <col min="12" max="13" width="9.5703125" style="1" customWidth="1"/>
    <col min="14" max="14" width="11.5703125" style="1" customWidth="1"/>
    <col min="15" max="15" width="11" style="2" bestFit="1" customWidth="1"/>
    <col min="16" max="16" width="10" style="3" bestFit="1" customWidth="1"/>
    <col min="17" max="17" width="18.7109375" style="1" bestFit="1" customWidth="1"/>
    <col min="18" max="18" width="32.140625" style="2" bestFit="1" customWidth="1"/>
    <col min="19" max="19" width="20.7109375" style="2" bestFit="1" customWidth="1"/>
    <col min="20" max="20" width="11.42578125" style="3" bestFit="1" customWidth="1"/>
    <col min="21" max="21" width="21" style="1" bestFit="1" customWidth="1"/>
    <col min="22" max="22" width="11.5703125" style="2" bestFit="1" customWidth="1"/>
    <col min="23" max="23" width="12.85546875" style="2" bestFit="1" customWidth="1"/>
    <col min="24" max="1025" width="11.42578125" style="1"/>
  </cols>
  <sheetData>
    <row r="1" spans="1:23" ht="24" customHeight="1" x14ac:dyDescent="0.25">
      <c r="A1" s="1"/>
      <c r="B1" s="27" t="s">
        <v>49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23" s="33" customFormat="1" ht="36.75" customHeight="1" x14ac:dyDescent="0.25">
      <c r="A2" s="33" t="s">
        <v>46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6" t="s">
        <v>47</v>
      </c>
      <c r="H2" s="37" t="s">
        <v>48</v>
      </c>
      <c r="I2" s="38" t="s">
        <v>63</v>
      </c>
      <c r="J2" s="39" t="s">
        <v>61</v>
      </c>
      <c r="K2" s="39" t="s">
        <v>62</v>
      </c>
      <c r="L2" s="40" t="s">
        <v>59</v>
      </c>
      <c r="M2" s="41" t="s">
        <v>60</v>
      </c>
      <c r="N2" s="35" t="s">
        <v>54</v>
      </c>
    </row>
    <row r="3" spans="1:23" s="18" customFormat="1" ht="15" customHeight="1" x14ac:dyDescent="0.25">
      <c r="A3" s="5">
        <v>11</v>
      </c>
      <c r="B3" s="6" t="s">
        <v>31</v>
      </c>
      <c r="C3" s="6" t="s">
        <v>14</v>
      </c>
      <c r="D3" s="6" t="s">
        <v>24</v>
      </c>
      <c r="E3" s="23" t="s">
        <v>35</v>
      </c>
      <c r="F3" s="23">
        <v>2025</v>
      </c>
      <c r="G3" s="25">
        <v>19</v>
      </c>
      <c r="H3">
        <v>9</v>
      </c>
      <c r="I3" s="26">
        <f>Tabla1[[#This Row],[CO 35]]+Tabla1[[#This Row],[CE30]]</f>
        <v>28</v>
      </c>
      <c r="J3" s="29">
        <v>1</v>
      </c>
      <c r="K3" s="29" t="s">
        <v>51</v>
      </c>
      <c r="L3" s="29" t="s">
        <v>50</v>
      </c>
      <c r="M3" s="29" t="s">
        <v>51</v>
      </c>
      <c r="N3" s="31" t="s">
        <v>55</v>
      </c>
    </row>
    <row r="4" spans="1:23" s="5" customFormat="1" x14ac:dyDescent="0.25">
      <c r="A4" s="5">
        <v>9</v>
      </c>
      <c r="B4" s="6" t="s">
        <v>31</v>
      </c>
      <c r="C4" s="6" t="s">
        <v>15</v>
      </c>
      <c r="D4" s="6" t="s">
        <v>25</v>
      </c>
      <c r="E4" s="23" t="s">
        <v>42</v>
      </c>
      <c r="F4" s="23">
        <v>2025</v>
      </c>
      <c r="G4" s="25">
        <v>16</v>
      </c>
      <c r="H4">
        <v>22</v>
      </c>
      <c r="I4" s="26">
        <f>Tabla1[[#This Row],[CO 35]]+Tabla1[[#This Row],[CE30]]</f>
        <v>38</v>
      </c>
      <c r="J4" s="29">
        <v>1</v>
      </c>
      <c r="K4" s="29">
        <v>2</v>
      </c>
      <c r="L4" s="29" t="s">
        <v>52</v>
      </c>
      <c r="M4" s="29" t="s">
        <v>52</v>
      </c>
      <c r="N4" s="31" t="s">
        <v>56</v>
      </c>
    </row>
    <row r="5" spans="1:23" s="5" customFormat="1" x14ac:dyDescent="0.25">
      <c r="A5" s="5">
        <v>5</v>
      </c>
      <c r="B5" s="6" t="s">
        <v>30</v>
      </c>
      <c r="C5" s="6" t="s">
        <v>12</v>
      </c>
      <c r="D5" s="6" t="s">
        <v>22</v>
      </c>
      <c r="E5" s="23" t="s">
        <v>41</v>
      </c>
      <c r="F5" s="23">
        <v>2019</v>
      </c>
      <c r="G5" s="25">
        <v>21</v>
      </c>
      <c r="H5">
        <v>18</v>
      </c>
      <c r="I5" s="26">
        <f>Tabla1[[#This Row],[CO 35]]+Tabla1[[#This Row],[CE30]]</f>
        <v>39</v>
      </c>
      <c r="J5" s="29" t="s">
        <v>52</v>
      </c>
      <c r="K5" s="29" t="s">
        <v>52</v>
      </c>
      <c r="L5" s="29">
        <v>1</v>
      </c>
      <c r="M5" s="29" t="s">
        <v>51</v>
      </c>
      <c r="N5" s="31" t="s">
        <v>57</v>
      </c>
    </row>
    <row r="6" spans="1:23" s="5" customFormat="1" x14ac:dyDescent="0.25">
      <c r="A6" s="5">
        <v>2</v>
      </c>
      <c r="B6" s="6" t="s">
        <v>28</v>
      </c>
      <c r="C6" s="6" t="s">
        <v>8</v>
      </c>
      <c r="D6" s="6" t="s">
        <v>20</v>
      </c>
      <c r="E6" s="23" t="s">
        <v>38</v>
      </c>
      <c r="F6" s="24">
        <v>2018</v>
      </c>
      <c r="G6" s="25">
        <v>20</v>
      </c>
      <c r="H6">
        <v>24</v>
      </c>
      <c r="I6" s="26">
        <f>Tabla1[[#This Row],[CO 35]]+Tabla1[[#This Row],[CE30]]</f>
        <v>44</v>
      </c>
      <c r="J6" s="29">
        <v>1</v>
      </c>
      <c r="K6" s="29">
        <v>2</v>
      </c>
      <c r="L6" s="29" t="s">
        <v>53</v>
      </c>
      <c r="M6" s="29" t="s">
        <v>53</v>
      </c>
      <c r="N6" s="31" t="s">
        <v>56</v>
      </c>
    </row>
    <row r="7" spans="1:23" s="5" customFormat="1" x14ac:dyDescent="0.25">
      <c r="A7" s="5">
        <v>12</v>
      </c>
      <c r="B7" s="6" t="s">
        <v>32</v>
      </c>
      <c r="C7" s="6" t="s">
        <v>17</v>
      </c>
      <c r="D7" s="6" t="s">
        <v>27</v>
      </c>
      <c r="E7" s="7" t="s">
        <v>35</v>
      </c>
      <c r="F7" s="7">
        <v>2024</v>
      </c>
      <c r="G7" s="25">
        <v>20</v>
      </c>
      <c r="H7">
        <v>15</v>
      </c>
      <c r="I7" s="26">
        <f>Tabla1[[#This Row],[CO 35]]+Tabla1[[#This Row],[CE30]]</f>
        <v>35</v>
      </c>
      <c r="J7" s="29">
        <v>1</v>
      </c>
      <c r="K7" s="29">
        <v>1</v>
      </c>
      <c r="L7" s="29" t="s">
        <v>52</v>
      </c>
      <c r="M7" s="29" t="s">
        <v>50</v>
      </c>
      <c r="N7" s="31" t="s">
        <v>57</v>
      </c>
    </row>
    <row r="8" spans="1:23" s="5" customFormat="1" x14ac:dyDescent="0.25">
      <c r="A8" s="18">
        <v>1</v>
      </c>
      <c r="B8" s="7" t="s">
        <v>28</v>
      </c>
      <c r="C8" s="7" t="s">
        <v>6</v>
      </c>
      <c r="D8" s="7" t="s">
        <v>18</v>
      </c>
      <c r="E8" s="21" t="s">
        <v>36</v>
      </c>
      <c r="F8" s="22">
        <v>2017</v>
      </c>
      <c r="G8" s="25">
        <v>24</v>
      </c>
      <c r="H8">
        <v>20</v>
      </c>
      <c r="I8" s="26">
        <f>Tabla1[[#This Row],[CO 35]]+Tabla1[[#This Row],[CE30]]</f>
        <v>44</v>
      </c>
      <c r="J8" s="29" t="s">
        <v>52</v>
      </c>
      <c r="K8" s="29" t="s">
        <v>52</v>
      </c>
      <c r="L8" s="29">
        <v>1</v>
      </c>
      <c r="M8" s="29">
        <v>1</v>
      </c>
      <c r="N8" s="31" t="s">
        <v>58</v>
      </c>
    </row>
    <row r="9" spans="1:23" s="5" customFormat="1" x14ac:dyDescent="0.25">
      <c r="A9" s="5">
        <v>4</v>
      </c>
      <c r="B9" s="6" t="s">
        <v>29</v>
      </c>
      <c r="C9" s="6" t="s">
        <v>7</v>
      </c>
      <c r="D9" s="6" t="s">
        <v>19</v>
      </c>
      <c r="E9" s="7" t="s">
        <v>37</v>
      </c>
      <c r="F9" s="7">
        <v>2021</v>
      </c>
      <c r="G9" s="25">
        <v>28</v>
      </c>
      <c r="H9">
        <v>21</v>
      </c>
      <c r="I9" s="26">
        <f>Tabla1[[#This Row],[CO 35]]+Tabla1[[#This Row],[CE30]]</f>
        <v>49</v>
      </c>
      <c r="J9" s="29">
        <v>2</v>
      </c>
      <c r="K9" s="29">
        <v>2</v>
      </c>
      <c r="L9" s="29" t="s">
        <v>52</v>
      </c>
      <c r="M9" s="29" t="s">
        <v>53</v>
      </c>
      <c r="N9" s="31" t="s">
        <v>56</v>
      </c>
    </row>
    <row r="10" spans="1:23" s="5" customFormat="1" x14ac:dyDescent="0.25">
      <c r="A10" s="5">
        <v>6</v>
      </c>
      <c r="B10" s="6" t="s">
        <v>30</v>
      </c>
      <c r="C10" s="6" t="s">
        <v>10</v>
      </c>
      <c r="D10" s="6" t="s">
        <v>21</v>
      </c>
      <c r="E10" s="23" t="s">
        <v>39</v>
      </c>
      <c r="F10" s="23">
        <v>2019</v>
      </c>
      <c r="G10" s="25">
        <v>18</v>
      </c>
      <c r="H10">
        <v>10</v>
      </c>
      <c r="I10" s="26">
        <f>Tabla1[[#This Row],[CO 35]]+Tabla1[[#This Row],[CE30]]</f>
        <v>28</v>
      </c>
      <c r="J10" s="29">
        <v>1</v>
      </c>
      <c r="K10" s="29" t="s">
        <v>51</v>
      </c>
      <c r="L10" s="29">
        <v>2</v>
      </c>
      <c r="M10" s="29" t="s">
        <v>51</v>
      </c>
      <c r="N10" s="31" t="s">
        <v>55</v>
      </c>
    </row>
    <row r="11" spans="1:23" s="5" customFormat="1" x14ac:dyDescent="0.25">
      <c r="A11" s="5">
        <v>8</v>
      </c>
      <c r="B11" s="6" t="s">
        <v>31</v>
      </c>
      <c r="C11" s="6" t="s">
        <v>13</v>
      </c>
      <c r="D11" s="6" t="s">
        <v>23</v>
      </c>
      <c r="E11" s="23" t="s">
        <v>35</v>
      </c>
      <c r="F11" s="23">
        <v>2025</v>
      </c>
      <c r="G11" s="25">
        <v>23</v>
      </c>
      <c r="H11">
        <v>14</v>
      </c>
      <c r="I11" s="26">
        <f>Tabla1[[#This Row],[CO 35]]+Tabla1[[#This Row],[CE30]]</f>
        <v>37</v>
      </c>
      <c r="J11" s="29" t="s">
        <v>52</v>
      </c>
      <c r="K11" s="29" t="s">
        <v>52</v>
      </c>
      <c r="L11" s="29" t="s">
        <v>51</v>
      </c>
      <c r="M11" s="29">
        <v>1</v>
      </c>
      <c r="N11" s="31" t="s">
        <v>57</v>
      </c>
    </row>
    <row r="12" spans="1:23" s="5" customFormat="1" x14ac:dyDescent="0.25">
      <c r="A12" s="5">
        <v>7</v>
      </c>
      <c r="B12" s="6" t="s">
        <v>30</v>
      </c>
      <c r="C12" s="6" t="s">
        <v>11</v>
      </c>
      <c r="D12" s="6" t="s">
        <v>45</v>
      </c>
      <c r="E12" s="7" t="s">
        <v>40</v>
      </c>
      <c r="F12" s="7">
        <v>2024</v>
      </c>
      <c r="G12" s="25">
        <v>20</v>
      </c>
      <c r="H12">
        <v>16</v>
      </c>
      <c r="I12" s="26">
        <f>Tabla1[[#This Row],[CO 35]]+Tabla1[[#This Row],[CE30]]</f>
        <v>36</v>
      </c>
      <c r="J12" s="29">
        <v>1</v>
      </c>
      <c r="K12" s="29">
        <v>1</v>
      </c>
      <c r="L12" s="29" t="s">
        <v>53</v>
      </c>
      <c r="M12" s="29">
        <v>1</v>
      </c>
      <c r="N12" s="31" t="s">
        <v>58</v>
      </c>
    </row>
    <row r="13" spans="1:23" s="5" customFormat="1" x14ac:dyDescent="0.25">
      <c r="A13" s="5">
        <v>10</v>
      </c>
      <c r="B13" s="6" t="s">
        <v>31</v>
      </c>
      <c r="C13" s="6" t="s">
        <v>16</v>
      </c>
      <c r="D13" s="6" t="s">
        <v>26</v>
      </c>
      <c r="E13" s="7" t="s">
        <v>43</v>
      </c>
      <c r="F13" s="7">
        <v>2025</v>
      </c>
      <c r="G13" s="25">
        <v>21</v>
      </c>
      <c r="H13">
        <v>18</v>
      </c>
      <c r="I13" s="26">
        <f>Tabla1[[#This Row],[CO 35]]+Tabla1[[#This Row],[CE30]]</f>
        <v>39</v>
      </c>
      <c r="J13" s="29" t="s">
        <v>52</v>
      </c>
      <c r="K13" s="29" t="s">
        <v>52</v>
      </c>
      <c r="L13" s="29" t="s">
        <v>52</v>
      </c>
      <c r="M13" s="29" t="s">
        <v>53</v>
      </c>
      <c r="N13" s="31" t="s">
        <v>58</v>
      </c>
    </row>
    <row r="14" spans="1:23" s="5" customFormat="1" ht="15" customHeight="1" x14ac:dyDescent="0.25">
      <c r="A14" s="5">
        <v>3</v>
      </c>
      <c r="B14" s="6" t="s">
        <v>29</v>
      </c>
      <c r="C14" s="6" t="s">
        <v>9</v>
      </c>
      <c r="D14" s="6" t="s">
        <v>33</v>
      </c>
      <c r="E14" s="7" t="s">
        <v>34</v>
      </c>
      <c r="F14" s="7">
        <v>2019</v>
      </c>
      <c r="G14" s="25">
        <v>17</v>
      </c>
      <c r="H14">
        <v>19</v>
      </c>
      <c r="I14" s="26">
        <f>Tabla1[[#This Row],[CO 35]]+Tabla1[[#This Row],[CE30]]</f>
        <v>36</v>
      </c>
      <c r="J14" s="30">
        <v>1</v>
      </c>
      <c r="K14" s="30" t="s">
        <v>52</v>
      </c>
      <c r="L14" s="30">
        <v>1</v>
      </c>
      <c r="M14" s="30" t="s">
        <v>51</v>
      </c>
      <c r="N14" s="32" t="s">
        <v>55</v>
      </c>
    </row>
    <row r="15" spans="1:23" s="5" customFormat="1" ht="15" customHeight="1" x14ac:dyDescent="0.25">
      <c r="B15" s="8"/>
      <c r="C15" s="8"/>
      <c r="D15" s="9"/>
      <c r="E15" s="9"/>
      <c r="F15" s="10"/>
      <c r="G15" s="11"/>
      <c r="H15" s="12"/>
      <c r="I15" s="12"/>
      <c r="J15" s="12"/>
      <c r="K15" s="12"/>
      <c r="L15" s="12"/>
      <c r="M15" s="13"/>
      <c r="N15" s="12"/>
      <c r="O15" s="12"/>
      <c r="P15" s="14"/>
      <c r="Q15" s="12"/>
      <c r="R15" s="15"/>
      <c r="S15" s="15"/>
      <c r="T15" s="16"/>
      <c r="U15" s="10"/>
      <c r="V15" s="10"/>
      <c r="W15" s="10"/>
    </row>
    <row r="16" spans="1:23" s="5" customFormat="1" ht="15" customHeight="1" x14ac:dyDescent="0.25">
      <c r="B16" s="8"/>
      <c r="C16" s="8"/>
      <c r="D16" s="9"/>
      <c r="E16" s="9"/>
      <c r="F16" s="10"/>
      <c r="G16" s="11"/>
      <c r="H16" s="12"/>
      <c r="I16" s="12"/>
      <c r="J16" s="12"/>
      <c r="K16" s="12"/>
      <c r="L16" s="12"/>
      <c r="M16" s="13"/>
      <c r="N16" s="12"/>
      <c r="O16" s="12"/>
      <c r="P16" s="14"/>
      <c r="Q16" s="12"/>
      <c r="R16" s="15"/>
      <c r="S16" s="15"/>
      <c r="T16" s="16"/>
      <c r="U16" s="10"/>
      <c r="V16" s="10"/>
      <c r="W16" s="10"/>
    </row>
    <row r="17" spans="2:1025" s="20" customFormat="1" ht="15" customHeight="1" x14ac:dyDescent="0.25">
      <c r="B17" s="5"/>
      <c r="C17" s="17" t="s">
        <v>44</v>
      </c>
      <c r="D17" s="5"/>
      <c r="E17" s="5"/>
      <c r="F17" s="18"/>
      <c r="G17" s="18"/>
      <c r="H17" s="5"/>
      <c r="I17" s="5"/>
      <c r="J17" s="5"/>
      <c r="K17" s="5"/>
      <c r="L17" s="5"/>
      <c r="M17" s="5"/>
      <c r="N17" s="5"/>
      <c r="O17" s="19"/>
      <c r="P17" s="18"/>
      <c r="Q17" s="5"/>
      <c r="R17" s="19"/>
      <c r="S17" s="19"/>
      <c r="T17" s="18"/>
      <c r="U17" s="5"/>
      <c r="V17" s="19"/>
      <c r="W17" s="19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</row>
    <row r="18" spans="2:1025" s="20" customFormat="1" x14ac:dyDescent="0.25">
      <c r="B18" s="5"/>
      <c r="C18" s="17"/>
      <c r="D18" s="17"/>
      <c r="E18" s="5"/>
      <c r="F18" s="18"/>
      <c r="G18" s="18"/>
      <c r="H18" s="5"/>
      <c r="I18" s="5"/>
      <c r="J18" s="5"/>
      <c r="K18" s="5"/>
      <c r="L18" s="5"/>
      <c r="M18" s="5"/>
      <c r="N18" s="5"/>
      <c r="O18" s="19"/>
      <c r="P18" s="18"/>
      <c r="Q18" s="5"/>
      <c r="R18" s="19"/>
      <c r="S18" s="19"/>
      <c r="T18" s="18"/>
      <c r="U18" s="5"/>
      <c r="V18" s="19"/>
      <c r="W18" s="19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</row>
    <row r="21" spans="2:1025" x14ac:dyDescent="0.25">
      <c r="D21" s="4"/>
    </row>
    <row r="22" spans="2:1025" x14ac:dyDescent="0.25">
      <c r="F22" s="3" t="s">
        <v>5</v>
      </c>
    </row>
  </sheetData>
  <mergeCells count="1">
    <mergeCell ref="B1:M1"/>
  </mergeCells>
  <phoneticPr fontId="11" type="noConversion"/>
  <pageMargins left="0.7" right="0.7" top="0.75" bottom="0.75" header="0.51180555555555496" footer="0.51180555555555496"/>
  <pageSetup paperSize="9" scale="31" firstPageNumber="0" orientation="landscape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CABIECES MONREAL LOURDES</dc:creator>
  <dc:description/>
  <cp:lastModifiedBy>IVARS PEREZ JOSE MIGUEL</cp:lastModifiedBy>
  <cp:revision>24</cp:revision>
  <cp:lastPrinted>2025-03-10T11:39:47Z</cp:lastPrinted>
  <dcterms:created xsi:type="dcterms:W3CDTF">2006-09-16T00:00:00Z</dcterms:created>
  <dcterms:modified xsi:type="dcterms:W3CDTF">2026-04-08T07:03:47Z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